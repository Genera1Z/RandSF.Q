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464"/>
  </bookViews>
  <sheets>
    <sheet name="eval_multi" sheetId="1" r:id="rId1"/>
  </sheets>
  <calcPr calcId="144525"/>
</workbook>
</file>

<file path=xl/sharedStrings.xml><?xml version="1.0" encoding="utf-8"?>
<sst xmlns="http://schemas.openxmlformats.org/spreadsheetml/2006/main" count="10" uniqueCount="10">
  <si>
    <t>top1</t>
  </si>
  <si>
    <t>top3</t>
  </si>
  <si>
    <t>iou</t>
  </si>
  <si>
    <t>num</t>
  </si>
  <si>
    <t>randsfq_r_recogn-ytvis-42</t>
  </si>
  <si>
    <t>randsfq_r_recogn-ytvis-43</t>
  </si>
  <si>
    <t>randsfq_r_recogn-ytvis-44</t>
  </si>
  <si>
    <t>slotcontrast_r_recogn-ytvis-42</t>
  </si>
  <si>
    <t>slotcontrast_r_recogn-ytvis-43</t>
  </si>
  <si>
    <t>slotcontrast_r_recogn-ytvis-44</t>
  </si>
</sst>
</file>

<file path=xl/styles.xml><?xml version="1.0" encoding="utf-8"?>
<styleSheet xmlns="http://schemas.openxmlformats.org/spreadsheetml/2006/main">
  <numFmts count="6">
    <numFmt numFmtId="176" formatCode="0.000_ "/>
    <numFmt numFmtId="177" formatCode="0.0_ "/>
    <numFmt numFmtId="44" formatCode="_(&quot;$&quot;* #,##0.00_);_(&quot;$&quot;* \(#,##0.00\);_(&quot;$&quot;* &quot;-&quot;??_);_(@_)"/>
    <numFmt numFmtId="178" formatCode="_ * #,##0_ ;_ * \-#,##0_ ;_ * &quot;-&quot;_ ;_ @_ "/>
    <numFmt numFmtId="179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7" fillId="25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zoomScaleSheetLayoutView="60" workbookViewId="0">
      <selection activeCell="F1" sqref="F1"/>
    </sheetView>
  </sheetViews>
  <sheetFormatPr defaultColWidth="10" defaultRowHeight="14.4" outlineLevelRow="6"/>
  <cols>
    <col min="1" max="1" width="28.7777777777778" customWidth="1"/>
    <col min="2" max="4" width="11.7777777777778"/>
    <col min="7" max="10" width="12.8888888888889"/>
    <col min="12" max="15" width="12.8888888888889"/>
  </cols>
  <sheetData>
    <row r="1" spans="2:15">
      <c r="B1" t="s">
        <v>0</v>
      </c>
      <c r="C1" t="s">
        <v>1</v>
      </c>
      <c r="D1" t="s">
        <v>2</v>
      </c>
      <c r="E1" t="s">
        <v>3</v>
      </c>
      <c r="G1" s="2"/>
      <c r="H1" s="2"/>
      <c r="I1" s="2"/>
      <c r="J1" s="2"/>
      <c r="L1" s="3"/>
      <c r="M1" s="3"/>
      <c r="N1" s="3"/>
      <c r="O1" s="3"/>
    </row>
    <row r="2" spans="1:15">
      <c r="A2" s="1" t="s">
        <v>4</v>
      </c>
      <c r="B2" s="1">
        <v>0.27631241</v>
      </c>
      <c r="C2" s="1">
        <v>0.57477593</v>
      </c>
      <c r="D2" s="1">
        <v>0.54044706</v>
      </c>
      <c r="E2" s="1">
        <v>7810</v>
      </c>
      <c r="G2" s="2">
        <f>AVERAGE(B2:B4)</f>
        <v>0.26131141</v>
      </c>
      <c r="H2" s="2">
        <f>AVERAGE(C2:C4)</f>
        <v>0.608724673333333</v>
      </c>
      <c r="I2" s="2">
        <f>AVERAGE(D2:D4)</f>
        <v>0.545426526666667</v>
      </c>
      <c r="J2" s="2">
        <f>AVERAGE(E2:E4)</f>
        <v>7579.33333333333</v>
      </c>
      <c r="L2" s="3">
        <f>G2*100</f>
        <v>26.131141</v>
      </c>
      <c r="M2" s="3">
        <f>H2*100</f>
        <v>60.8724673333333</v>
      </c>
      <c r="N2" s="3">
        <f>I2*100</f>
        <v>54.5426526666667</v>
      </c>
      <c r="O2" s="3">
        <f>J2*100</f>
        <v>757933.333333333</v>
      </c>
    </row>
    <row r="3" spans="1:15">
      <c r="A3" s="1" t="s">
        <v>5</v>
      </c>
      <c r="B3" s="1">
        <v>0.25688317</v>
      </c>
      <c r="C3" s="1">
        <v>0.61360598</v>
      </c>
      <c r="D3" s="1">
        <v>0.54406452</v>
      </c>
      <c r="E3" s="1">
        <v>7482</v>
      </c>
      <c r="G3" s="2">
        <f>STDEV(B2:B4)</f>
        <v>0.0133495798532238</v>
      </c>
      <c r="H3" s="2">
        <f>STDEV(C2:C4)</f>
        <v>0.0317904089550391</v>
      </c>
      <c r="I3" s="2">
        <f>STDEV(D2:D4)</f>
        <v>0.0057820599478848</v>
      </c>
      <c r="J3" s="2">
        <f>STDEV(E2:E4)</f>
        <v>200.572513902911</v>
      </c>
      <c r="L3" s="3">
        <f>G3*100</f>
        <v>1.33495798532238</v>
      </c>
      <c r="M3" s="3">
        <f>H3*100</f>
        <v>3.17904089550391</v>
      </c>
      <c r="N3" s="3">
        <f>I3*100</f>
        <v>0.57820599478848</v>
      </c>
      <c r="O3" s="3">
        <f>J3*100</f>
        <v>20057.2513902911</v>
      </c>
    </row>
    <row r="4" spans="1:15">
      <c r="A4" s="1" t="s">
        <v>6</v>
      </c>
      <c r="B4" s="1">
        <v>0.25073865</v>
      </c>
      <c r="C4" s="1">
        <v>0.63779211</v>
      </c>
      <c r="D4" s="1">
        <v>0.551768</v>
      </c>
      <c r="E4" s="1">
        <v>7446</v>
      </c>
      <c r="G4" s="2"/>
      <c r="H4" s="2"/>
      <c r="I4" s="2"/>
      <c r="J4" s="2"/>
      <c r="L4" s="3"/>
      <c r="M4" s="3"/>
      <c r="N4" s="3"/>
      <c r="O4" s="3"/>
    </row>
    <row r="5" spans="1:15">
      <c r="A5" s="1" t="s">
        <v>7</v>
      </c>
      <c r="B5" s="1">
        <v>0.22133707</v>
      </c>
      <c r="C5" s="1">
        <v>0.4728173</v>
      </c>
      <c r="D5" s="1">
        <v>0.53366077</v>
      </c>
      <c r="E5" s="1">
        <v>9289</v>
      </c>
      <c r="G5" s="2">
        <f>AVERAGE(B5:B7)</f>
        <v>0.198978156666667</v>
      </c>
      <c r="H5" s="2">
        <f>AVERAGE(C5:C7)</f>
        <v>0.49136414</v>
      </c>
      <c r="I5" s="2">
        <f>AVERAGE(D5:D7)</f>
        <v>0.535440883333333</v>
      </c>
      <c r="J5" s="2">
        <f>AVERAGE(E5:E7)</f>
        <v>9259</v>
      </c>
      <c r="L5" s="3">
        <f>G5*100</f>
        <v>19.8978156666667</v>
      </c>
      <c r="M5" s="3">
        <f>H5*100</f>
        <v>49.136414</v>
      </c>
      <c r="N5" s="3">
        <f>I5*100</f>
        <v>53.5440883333333</v>
      </c>
      <c r="O5" s="3">
        <f>J5*100</f>
        <v>925900</v>
      </c>
    </row>
    <row r="6" spans="1:15">
      <c r="A6" s="1" t="s">
        <v>8</v>
      </c>
      <c r="B6" s="1">
        <v>0.19058442</v>
      </c>
      <c r="C6" s="1">
        <v>0.47402596</v>
      </c>
      <c r="D6" s="1">
        <v>0.53657514</v>
      </c>
      <c r="E6" s="1">
        <v>9240</v>
      </c>
      <c r="G6" s="2">
        <f>STDEV(B5:B7)</f>
        <v>0.0195627449506462</v>
      </c>
      <c r="H6" s="2">
        <f>STDEV(C5:C7)</f>
        <v>0.0310832142811711</v>
      </c>
      <c r="I6" s="2">
        <f>STDEV(D5:D7)</f>
        <v>0.00156084472310133</v>
      </c>
      <c r="J6" s="2">
        <f>STDEV(E5:E7)</f>
        <v>26.2868788561898</v>
      </c>
      <c r="L6" s="3">
        <f>G6*100</f>
        <v>1.95627449506462</v>
      </c>
      <c r="M6" s="3">
        <f>H6*100</f>
        <v>3.10832142811711</v>
      </c>
      <c r="N6" s="3">
        <f>I6*100</f>
        <v>0.156084472310133</v>
      </c>
      <c r="O6" s="3">
        <f>J6*100</f>
        <v>2628.68788561898</v>
      </c>
    </row>
    <row r="7" spans="1:15">
      <c r="A7" s="1" t="s">
        <v>9</v>
      </c>
      <c r="B7" s="1">
        <v>0.18501298</v>
      </c>
      <c r="C7" s="1">
        <v>0.52724916</v>
      </c>
      <c r="D7" s="1">
        <v>0.53608674</v>
      </c>
      <c r="E7" s="1">
        <v>9248</v>
      </c>
      <c r="G7" s="2"/>
      <c r="H7" s="2"/>
      <c r="I7" s="2"/>
      <c r="J7" s="2"/>
      <c r="L7" s="3"/>
      <c r="M7" s="3"/>
      <c r="N7" s="3"/>
      <c r="O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eval_multi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GeneralZ</cp:lastModifiedBy>
  <dcterms:created xsi:type="dcterms:W3CDTF">2025-12-25T18:49:00Z</dcterms:created>
  <dcterms:modified xsi:type="dcterms:W3CDTF">2025-12-25T18:36:35Z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